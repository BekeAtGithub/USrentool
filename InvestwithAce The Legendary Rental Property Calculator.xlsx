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4"/>
  </sheets>
  <definedNames/>
  <calcPr/>
</workbook>
</file>

<file path=xl/sharedStrings.xml><?xml version="1.0" encoding="utf-8"?>
<sst xmlns="http://schemas.openxmlformats.org/spreadsheetml/2006/main" count="149" uniqueCount="96">
  <si>
    <t>Easy Enough: Just fill in all the blue cells while reviewing a property and the results will populate throughout the sheet!</t>
  </si>
  <si>
    <t>Rent Growth Calculator</t>
  </si>
  <si>
    <t>Sale Price</t>
  </si>
  <si>
    <t>Current Pro Forma Analysis</t>
  </si>
  <si>
    <t>5 Year Debt Paydown Summary</t>
  </si>
  <si>
    <t>Does it qualify for a commercial loan?</t>
  </si>
  <si>
    <t>Rent Growth Rate:</t>
  </si>
  <si>
    <t>Debt Coverage Ratio Required:</t>
  </si>
  <si>
    <t>Market Rent (Year 1):</t>
  </si>
  <si>
    <t>Unit Breakdown</t>
  </si>
  <si>
    <t>Item</t>
  </si>
  <si>
    <t>$/Mo.</t>
  </si>
  <si>
    <t>Mortgage Calculator</t>
  </si>
  <si>
    <t>Year</t>
  </si>
  <si>
    <t>Figure</t>
  </si>
  <si>
    <t>Unit #</t>
  </si>
  <si>
    <t>#Beds</t>
  </si>
  <si>
    <t>#Baths</t>
  </si>
  <si>
    <t>Rent/Mo</t>
  </si>
  <si>
    <t>Market Rent</t>
  </si>
  <si>
    <t>Gross Rents</t>
  </si>
  <si>
    <t>Total Debt Paydown</t>
  </si>
  <si>
    <t>Assumption</t>
  </si>
  <si>
    <t>Pro Forma</t>
  </si>
  <si>
    <t>Actual</t>
  </si>
  <si>
    <t>End of Year:</t>
  </si>
  <si>
    <t>Property Management</t>
  </si>
  <si>
    <t>Loan to Value Ratio</t>
  </si>
  <si>
    <t>ROI on Paydown</t>
  </si>
  <si>
    <t>Property Taxes</t>
  </si>
  <si>
    <t>Down Payment</t>
  </si>
  <si>
    <t>Vacancy</t>
  </si>
  <si>
    <t>Insurance</t>
  </si>
  <si>
    <t>Closing Costs</t>
  </si>
  <si>
    <t>Prop Mgmt</t>
  </si>
  <si>
    <t>Owner-Paid Utilities</t>
  </si>
  <si>
    <t>Principal</t>
  </si>
  <si>
    <t>Cash Reserves</t>
  </si>
  <si>
    <t>Vacancy Reserve</t>
  </si>
  <si>
    <t>Interest Rate</t>
  </si>
  <si>
    <t>Taxes (actual)</t>
  </si>
  <si>
    <t>Maintenance Reserve</t>
  </si>
  <si>
    <t xml:space="preserve">Term (Years) </t>
  </si>
  <si>
    <t>Insurance (actual)</t>
  </si>
  <si>
    <t>Total Operating Expenses</t>
  </si>
  <si>
    <t xml:space="preserve">Monthly Mortgage </t>
  </si>
  <si>
    <t>Maintenance + Utilities</t>
  </si>
  <si>
    <t>Monthly NOI</t>
  </si>
  <si>
    <t>Monthly Net</t>
  </si>
  <si>
    <t>Total Expenses</t>
  </si>
  <si>
    <t>Annualized NOI</t>
  </si>
  <si>
    <t>Annualized Net</t>
  </si>
  <si>
    <t>NOI</t>
  </si>
  <si>
    <t>Capitalization Rate</t>
  </si>
  <si>
    <t>Annualized ROI</t>
  </si>
  <si>
    <t>Mortgage</t>
  </si>
  <si>
    <t>Stabilized pro forma analysis</t>
  </si>
  <si>
    <t>Five Year Tax Deduction Summary</t>
  </si>
  <si>
    <t>Debt Coverage Ratio</t>
  </si>
  <si>
    <t>Improved Value: Assessed Value Ratio (%)</t>
  </si>
  <si>
    <t>Net Profit</t>
  </si>
  <si>
    <t>Marginal Tax Rate</t>
  </si>
  <si>
    <t>Average Annualized % Appreciation</t>
  </si>
  <si>
    <t>Assumed Rate:</t>
  </si>
  <si>
    <t>Depreciation (Straight Line)</t>
  </si>
  <si>
    <t xml:space="preserve">Total Interest Paid </t>
  </si>
  <si>
    <t>Est. Value</t>
  </si>
  <si>
    <t>Annual Gain</t>
  </si>
  <si>
    <t>%  Gain</t>
  </si>
  <si>
    <t>Total Deductions</t>
  </si>
  <si>
    <t>Totals</t>
  </si>
  <si>
    <t>Monthly Mortgage</t>
  </si>
  <si>
    <t>Expenses</t>
  </si>
  <si>
    <t>Property Tax/Yr</t>
  </si>
  <si>
    <t>Downpayment (%)</t>
  </si>
  <si>
    <t>Total Return (% of initial investment)</t>
  </si>
  <si>
    <t>Insurance/Mo</t>
  </si>
  <si>
    <t>Interest Rate (%)</t>
  </si>
  <si>
    <t>Gas &amp; Electric/Mo</t>
  </si>
  <si>
    <t>Loan Term (Years)</t>
  </si>
  <si>
    <t>Source of Gain</t>
  </si>
  <si>
    <t>Water/Mo</t>
  </si>
  <si>
    <t>Cash flow</t>
  </si>
  <si>
    <t>Sewer/Mo</t>
  </si>
  <si>
    <t>Debt Paydown</t>
  </si>
  <si>
    <t>Garbage/Mo</t>
  </si>
  <si>
    <t>Tax Savings</t>
  </si>
  <si>
    <t>Lawn and Snow</t>
  </si>
  <si>
    <t>Appreciation</t>
  </si>
  <si>
    <t>Management (%)</t>
  </si>
  <si>
    <t>Avg Yearly Tax Savings</t>
  </si>
  <si>
    <t>Total ROI</t>
  </si>
  <si>
    <t>Vacancy (%)</t>
  </si>
  <si>
    <t>% Annual ROI on Tax Savings</t>
  </si>
  <si>
    <t>Total $ Return</t>
  </si>
  <si>
    <t>Maintenance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</si>
</sst>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_(&quot;$&quot;* #,##0.00_);_(&quot;$&quot;* \(#,##0.00\);_(&quot;$&quot;* &quot;-&quot;??_);_(@_)"/>
    <numFmt numFmtId="166" formatCode="#,##0.00;(#,##0.00)"/>
  </numFmts>
  <fonts count="8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b/>
    </font>
    <font>
      <b/>
      <color rgb="FF000000"/>
      <name val="Arial"/>
    </font>
    <font>
      <color rgb="FF000000"/>
      <name val="Arial"/>
    </font>
    <font/>
    <font>
      <b/>
      <i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3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readingOrder="0" vertical="bottom"/>
    </xf>
    <xf borderId="2" fillId="2" fontId="2" numFmtId="164" xfId="0" applyAlignment="1" applyBorder="1" applyFont="1" applyNumberFormat="1">
      <alignment readingOrder="0"/>
    </xf>
    <xf borderId="2" fillId="2" fontId="1" numFmtId="0" xfId="0" applyBorder="1" applyFont="1"/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3" fontId="2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3" fillId="4" fontId="3" numFmtId="164" xfId="0" applyAlignment="1" applyBorder="1" applyFill="1" applyFont="1" applyNumberFormat="1">
      <alignment readingOrder="0"/>
    </xf>
    <xf borderId="4" fillId="0" fontId="2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vertical="bottom"/>
    </xf>
    <xf borderId="5" fillId="0" fontId="2" numFmtId="0" xfId="0" applyAlignment="1" applyBorder="1" applyFont="1">
      <alignment readingOrder="0"/>
    </xf>
    <xf borderId="6" fillId="4" fontId="2" numFmtId="10" xfId="0" applyAlignment="1" applyBorder="1" applyFont="1" applyNumberFormat="1">
      <alignment readingOrder="0"/>
    </xf>
    <xf borderId="2" fillId="0" fontId="1" numFmtId="0" xfId="0" applyBorder="1" applyFont="1"/>
    <xf borderId="3" fillId="4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/>
    </xf>
    <xf borderId="8" fillId="0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6" fillId="0" fontId="2" numFmtId="165" xfId="0" applyAlignment="1" applyBorder="1" applyFont="1" applyNumberFormat="1">
      <alignment horizontal="right" readingOrder="0" vertical="bottom"/>
    </xf>
    <xf borderId="9" fillId="0" fontId="1" numFmtId="0" xfId="0" applyAlignment="1" applyBorder="1" applyFont="1">
      <alignment readingOrder="0" vertical="bottom"/>
    </xf>
    <xf borderId="6" fillId="0" fontId="1" numFmtId="165" xfId="0" applyAlignment="1" applyBorder="1" applyFont="1" applyNumberFormat="1">
      <alignment horizontal="right" readingOrder="0" vertical="bottom"/>
    </xf>
    <xf borderId="9" fillId="0" fontId="1" numFmtId="0" xfId="0" applyAlignment="1" applyBorder="1" applyFont="1">
      <alignment vertical="bottom"/>
    </xf>
    <xf borderId="10" fillId="3" fontId="5" numFmtId="0" xfId="0" applyAlignment="1" applyBorder="1" applyFont="1">
      <alignment vertical="bottom"/>
    </xf>
    <xf borderId="6" fillId="3" fontId="5" numFmtId="164" xfId="0" applyAlignment="1" applyBorder="1" applyFont="1" applyNumberFormat="1">
      <alignment vertical="bottom"/>
    </xf>
    <xf borderId="9" fillId="0" fontId="1" numFmtId="0" xfId="0" applyBorder="1" applyFont="1"/>
    <xf borderId="11" fillId="0" fontId="6" numFmtId="0" xfId="0" applyBorder="1" applyFont="1"/>
    <xf borderId="11" fillId="0" fontId="2" numFmtId="0" xfId="0" applyAlignment="1" applyBorder="1" applyFont="1">
      <alignment readingOrder="0"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5" numFmtId="0" xfId="0" applyAlignment="1" applyBorder="1" applyFont="1">
      <alignment horizontal="left" readingOrder="0" vertical="bottom"/>
    </xf>
    <xf borderId="12" fillId="0" fontId="5" numFmtId="4" xfId="0" applyAlignment="1" applyBorder="1" applyFont="1" applyNumberFormat="1">
      <alignment horizontal="right" readingOrder="0" vertical="bottom"/>
    </xf>
    <xf borderId="0" fillId="0" fontId="5" numFmtId="4" xfId="0" applyAlignment="1" applyFont="1" applyNumberFormat="1">
      <alignment readingOrder="0" vertical="bottom"/>
    </xf>
    <xf borderId="16" fillId="4" fontId="4" numFmtId="165" xfId="0" applyAlignment="1" applyBorder="1" applyFont="1" applyNumberFormat="1">
      <alignment readingOrder="0" vertical="bottom"/>
    </xf>
    <xf borderId="13" fillId="4" fontId="4" numFmtId="165" xfId="0" applyAlignment="1" applyBorder="1" applyFont="1" applyNumberFormat="1">
      <alignment readingOrder="0" vertical="bottom"/>
    </xf>
    <xf borderId="15" fillId="0" fontId="1" numFmtId="0" xfId="0" applyAlignment="1" applyBorder="1" applyFont="1">
      <alignment readingOrder="0" vertical="bottom"/>
    </xf>
    <xf borderId="17" fillId="0" fontId="1" numFmtId="165" xfId="0" applyAlignment="1" applyBorder="1" applyFont="1" applyNumberFormat="1">
      <alignment horizontal="right" vertical="bottom"/>
    </xf>
    <xf borderId="15" fillId="0" fontId="1" numFmtId="0" xfId="0" applyAlignment="1" applyBorder="1" applyFont="1">
      <alignment vertical="bottom"/>
    </xf>
    <xf borderId="17" fillId="0" fontId="1" numFmtId="10" xfId="0" applyAlignment="1" applyBorder="1" applyFont="1" applyNumberFormat="1">
      <alignment horizontal="right" readingOrder="0" vertical="bottom"/>
    </xf>
    <xf borderId="18" fillId="5" fontId="2" numFmtId="0" xfId="0" applyAlignment="1" applyBorder="1" applyFill="1" applyFont="1">
      <alignment vertical="bottom"/>
    </xf>
    <xf borderId="19" fillId="5" fontId="2" numFmtId="0" xfId="0" applyAlignment="1" applyBorder="1" applyFont="1">
      <alignment vertical="bottom"/>
    </xf>
    <xf borderId="20" fillId="5" fontId="2" numFmtId="10" xfId="0" applyAlignment="1" applyBorder="1" applyFont="1" applyNumberFormat="1">
      <alignment vertical="bottom"/>
    </xf>
    <xf borderId="9" fillId="0" fontId="4" numFmtId="0" xfId="0" applyAlignment="1" applyBorder="1" applyFont="1">
      <alignment vertical="bottom"/>
    </xf>
    <xf borderId="10" fillId="0" fontId="6" numFmtId="0" xfId="0" applyBorder="1" applyFont="1"/>
    <xf borderId="6" fillId="0" fontId="4" numFmtId="164" xfId="0" applyAlignment="1" applyBorder="1" applyFont="1" applyNumberFormat="1">
      <alignment readingOrder="0" vertical="bottom"/>
    </xf>
    <xf borderId="21" fillId="0" fontId="4" numFmtId="165" xfId="0" applyAlignment="1" applyBorder="1" applyFont="1" applyNumberFormat="1">
      <alignment vertical="bottom"/>
    </xf>
    <xf borderId="22" fillId="0" fontId="4" numFmtId="165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15" fillId="0" fontId="1" numFmtId="0" xfId="0" applyAlignment="1" applyBorder="1" applyFont="1">
      <alignment horizontal="right" readingOrder="0"/>
    </xf>
    <xf borderId="23" fillId="5" fontId="1" numFmtId="165" xfId="0" applyAlignment="1" applyBorder="1" applyFont="1" applyNumberFormat="1">
      <alignment readingOrder="0" vertical="bottom"/>
    </xf>
    <xf borderId="24" fillId="0" fontId="5" numFmtId="4" xfId="0" applyAlignment="1" applyBorder="1" applyFont="1" applyNumberFormat="1">
      <alignment horizontal="right" readingOrder="0" vertical="bottom"/>
    </xf>
    <xf borderId="25" fillId="4" fontId="4" numFmtId="165" xfId="0" applyAlignment="1" applyBorder="1" applyFont="1" applyNumberFormat="1">
      <alignment readingOrder="0" vertical="bottom"/>
    </xf>
    <xf borderId="26" fillId="4" fontId="4" numFmtId="165" xfId="0" applyAlignment="1" applyBorder="1" applyFont="1" applyNumberFormat="1">
      <alignment readingOrder="0" vertical="bottom"/>
    </xf>
    <xf borderId="17" fillId="0" fontId="1" numFmtId="165" xfId="0" applyAlignment="1" applyBorder="1" applyFont="1" applyNumberFormat="1">
      <alignment horizontal="right" readingOrder="0" vertical="bottom"/>
    </xf>
    <xf borderId="15" fillId="3" fontId="5" numFmtId="0" xfId="0" applyAlignment="1" applyBorder="1" applyFont="1">
      <alignment vertical="bottom"/>
    </xf>
    <xf borderId="17" fillId="3" fontId="5" numFmtId="165" xfId="0" applyAlignment="1" applyBorder="1" applyFont="1" applyNumberFormat="1">
      <alignment horizontal="right" readingOrder="0" vertical="bottom"/>
    </xf>
    <xf borderId="15" fillId="0" fontId="5" numFmtId="0" xfId="0" applyAlignment="1" applyBorder="1" applyFont="1">
      <alignment readingOrder="0" vertical="bottom"/>
    </xf>
    <xf borderId="17" fillId="4" fontId="4" numFmtId="10" xfId="0" applyAlignment="1" applyBorder="1" applyFont="1" applyNumberFormat="1">
      <alignment readingOrder="0" vertical="bottom"/>
    </xf>
    <xf borderId="27" fillId="0" fontId="5" numFmtId="165" xfId="0" applyAlignment="1" applyBorder="1" applyFont="1" applyNumberFormat="1">
      <alignment vertical="bottom"/>
    </xf>
    <xf borderId="28" fillId="0" fontId="5" numFmtId="165" xfId="0" applyAlignment="1" applyBorder="1" applyFont="1" applyNumberFormat="1">
      <alignment vertical="bottom"/>
    </xf>
    <xf borderId="17" fillId="3" fontId="5" numFmtId="165" xfId="0" applyAlignment="1" applyBorder="1" applyFont="1" applyNumberFormat="1">
      <alignment horizontal="right" vertical="bottom"/>
    </xf>
    <xf borderId="17" fillId="4" fontId="4" numFmtId="165" xfId="0" applyAlignment="1" applyBorder="1" applyFont="1" applyNumberFormat="1">
      <alignment readingOrder="0" vertical="bottom"/>
    </xf>
    <xf borderId="17" fillId="3" fontId="1" numFmtId="165" xfId="0" applyAlignment="1" applyBorder="1" applyFont="1" applyNumberFormat="1">
      <alignment horizontal="right" readingOrder="0" vertical="bottom"/>
    </xf>
    <xf borderId="17" fillId="3" fontId="5" numFmtId="10" xfId="0" applyAlignment="1" applyBorder="1" applyFont="1" applyNumberFormat="1">
      <alignment horizontal="right" readingOrder="0" vertical="bottom"/>
    </xf>
    <xf borderId="15" fillId="0" fontId="5" numFmtId="0" xfId="0" applyAlignment="1" applyBorder="1" applyFont="1">
      <alignment vertical="bottom"/>
    </xf>
    <xf borderId="17" fillId="0" fontId="5" numFmtId="164" xfId="0" applyAlignment="1" applyBorder="1" applyFont="1" applyNumberFormat="1">
      <alignment vertical="bottom"/>
    </xf>
    <xf borderId="17" fillId="3" fontId="5" numFmtId="0" xfId="0" applyAlignment="1" applyBorder="1" applyFont="1">
      <alignment horizontal="right" vertical="bottom"/>
    </xf>
    <xf borderId="18" fillId="3" fontId="4" numFmtId="0" xfId="0" applyAlignment="1" applyBorder="1" applyFont="1">
      <alignment vertical="bottom"/>
    </xf>
    <xf borderId="20" fillId="3" fontId="4" numFmtId="165" xfId="0" applyAlignment="1" applyBorder="1" applyFont="1" applyNumberFormat="1">
      <alignment horizontal="right" vertical="bottom"/>
    </xf>
    <xf borderId="18" fillId="0" fontId="5" numFmtId="0" xfId="0" applyAlignment="1" applyBorder="1" applyFont="1">
      <alignment readingOrder="0" vertical="bottom"/>
    </xf>
    <xf borderId="19" fillId="0" fontId="6" numFmtId="0" xfId="0" applyBorder="1" applyFont="1"/>
    <xf borderId="20" fillId="4" fontId="4" numFmtId="10" xfId="0" applyAlignment="1" applyBorder="1" applyFont="1" applyNumberFormat="1">
      <alignment readingOrder="0" vertical="bottom"/>
    </xf>
    <xf borderId="29" fillId="0" fontId="5" numFmtId="165" xfId="0" applyAlignment="1" applyBorder="1" applyFont="1" applyNumberFormat="1">
      <alignment vertical="bottom"/>
    </xf>
    <xf borderId="30" fillId="0" fontId="5" numFmtId="165" xfId="0" applyAlignment="1" applyBorder="1" applyFont="1" applyNumberFormat="1">
      <alignment vertical="bottom"/>
    </xf>
    <xf borderId="15" fillId="5" fontId="2" numFmtId="0" xfId="0" applyAlignment="1" applyBorder="1" applyFont="1">
      <alignment vertical="bottom"/>
    </xf>
    <xf borderId="17" fillId="5" fontId="2" numFmtId="165" xfId="0" applyAlignment="1" applyBorder="1" applyFont="1" applyNumberFormat="1">
      <alignment horizontal="right" vertical="bottom"/>
    </xf>
    <xf borderId="15" fillId="5" fontId="5" numFmtId="0" xfId="0" applyAlignment="1" applyBorder="1" applyFont="1">
      <alignment vertical="bottom"/>
    </xf>
    <xf borderId="17" fillId="5" fontId="5" numFmtId="164" xfId="0" applyAlignment="1" applyBorder="1" applyFont="1" applyNumberFormat="1">
      <alignment vertical="bottom"/>
    </xf>
    <xf borderId="21" fillId="5" fontId="5" numFmtId="165" xfId="0" applyAlignment="1" applyBorder="1" applyFont="1" applyNumberFormat="1">
      <alignment vertical="bottom"/>
    </xf>
    <xf borderId="22" fillId="5" fontId="5" numFmtId="165" xfId="0" applyAlignment="1" applyBorder="1" applyFont="1" applyNumberFormat="1">
      <alignment vertical="bottom"/>
    </xf>
    <xf borderId="27" fillId="5" fontId="5" numFmtId="165" xfId="0" applyAlignment="1" applyBorder="1" applyFont="1" applyNumberFormat="1">
      <alignment vertical="bottom"/>
    </xf>
    <xf borderId="28" fillId="5" fontId="5" numFmtId="165" xfId="0" applyAlignment="1" applyBorder="1" applyFont="1" applyNumberFormat="1">
      <alignment vertical="bottom"/>
    </xf>
    <xf borderId="20" fillId="5" fontId="2" numFmtId="10" xfId="0" applyAlignment="1" applyBorder="1" applyFont="1" applyNumberFormat="1">
      <alignment horizontal="right" vertical="bottom"/>
    </xf>
    <xf borderId="18" fillId="5" fontId="7" numFmtId="0" xfId="0" applyAlignment="1" applyBorder="1" applyFont="1">
      <alignment vertical="bottom"/>
    </xf>
    <xf borderId="20" fillId="5" fontId="7" numFmtId="10" xfId="0" applyAlignment="1" applyBorder="1" applyFont="1" applyNumberFormat="1">
      <alignment horizontal="right" vertical="bottom"/>
    </xf>
    <xf borderId="18" fillId="5" fontId="5" numFmtId="0" xfId="0" applyAlignment="1" applyBorder="1" applyFont="1">
      <alignment vertical="bottom"/>
    </xf>
    <xf borderId="20" fillId="5" fontId="5" numFmtId="164" xfId="0" applyAlignment="1" applyBorder="1" applyFont="1" applyNumberFormat="1">
      <alignment vertical="bottom"/>
    </xf>
    <xf borderId="29" fillId="5" fontId="5" numFmtId="165" xfId="0" applyAlignment="1" applyBorder="1" applyFont="1" applyNumberFormat="1">
      <alignment vertical="bottom"/>
    </xf>
    <xf borderId="30" fillId="5" fontId="5" numFmtId="165" xfId="0" applyAlignment="1" applyBorder="1" applyFont="1" applyNumberFormat="1">
      <alignment vertical="bottom"/>
    </xf>
    <xf borderId="4" fillId="0" fontId="2" numFmtId="0" xfId="0" applyAlignment="1" applyBorder="1" applyFont="1">
      <alignment shrinkToFit="0" vertical="bottom" wrapText="0"/>
    </xf>
    <xf borderId="9" fillId="6" fontId="4" numFmtId="0" xfId="0" applyAlignment="1" applyBorder="1" applyFill="1" applyFont="1">
      <alignment readingOrder="0" vertical="bottom"/>
    </xf>
    <xf borderId="6" fillId="6" fontId="4" numFmtId="4" xfId="0" applyAlignment="1" applyBorder="1" applyFont="1" applyNumberFormat="1">
      <alignment vertical="bottom"/>
    </xf>
    <xf borderId="21" fillId="6" fontId="4" numFmtId="4" xfId="0" applyAlignment="1" applyBorder="1" applyFont="1" applyNumberFormat="1">
      <alignment vertical="bottom"/>
    </xf>
    <xf borderId="22" fillId="6" fontId="4" numFmtId="4" xfId="0" applyAlignment="1" applyBorder="1" applyFont="1" applyNumberFormat="1">
      <alignment vertical="bottom"/>
    </xf>
    <xf borderId="2" fillId="0" fontId="2" numFmtId="0" xfId="0" applyAlignment="1" applyBorder="1" applyFont="1">
      <alignment readingOrder="0" vertical="bottom"/>
    </xf>
    <xf borderId="14" fillId="4" fontId="2" numFmtId="10" xfId="0" applyAlignment="1" applyBorder="1" applyFont="1" applyNumberFormat="1">
      <alignment readingOrder="0" vertical="bottom"/>
    </xf>
    <xf borderId="18" fillId="6" fontId="2" numFmtId="0" xfId="0" applyAlignment="1" applyBorder="1" applyFont="1">
      <alignment vertical="bottom"/>
    </xf>
    <xf borderId="20" fillId="6" fontId="2" numFmtId="164" xfId="0" applyAlignment="1" applyBorder="1" applyFont="1" applyNumberFormat="1">
      <alignment vertical="bottom"/>
    </xf>
    <xf borderId="29" fillId="6" fontId="2" numFmtId="165" xfId="0" applyAlignment="1" applyBorder="1" applyFont="1" applyNumberFormat="1">
      <alignment vertical="bottom"/>
    </xf>
    <xf borderId="30" fillId="6" fontId="2" numFmtId="165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4" fontId="2" numFmtId="10" xfId="0" applyAlignment="1" applyBorder="1" applyFont="1" applyNumberFormat="1">
      <alignment readingOrder="0"/>
    </xf>
    <xf borderId="10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23" fillId="0" fontId="1" numFmtId="165" xfId="0" applyAlignment="1" applyBorder="1" applyFont="1" applyNumberFormat="1">
      <alignment vertical="bottom"/>
    </xf>
    <xf borderId="31" fillId="0" fontId="2" numFmtId="0" xfId="0" applyAlignment="1" applyBorder="1" applyFont="1">
      <alignment readingOrder="0"/>
    </xf>
    <xf borderId="32" fillId="0" fontId="2" numFmtId="0" xfId="0" applyAlignment="1" applyBorder="1" applyFont="1">
      <alignment readingOrder="0"/>
    </xf>
    <xf borderId="33" fillId="0" fontId="2" numFmtId="0" xfId="0" applyAlignment="1" applyBorder="1" applyFont="1">
      <alignment readingOrder="0"/>
    </xf>
    <xf borderId="24" fillId="0" fontId="1" numFmtId="4" xfId="0" applyAlignment="1" applyBorder="1" applyFont="1" applyNumberFormat="1">
      <alignment readingOrder="0"/>
    </xf>
    <xf borderId="34" fillId="5" fontId="2" numFmtId="165" xfId="0" applyAlignment="1" applyBorder="1" applyFont="1" applyNumberFormat="1">
      <alignment vertical="bottom"/>
    </xf>
    <xf borderId="16" fillId="0" fontId="1" numFmtId="0" xfId="0" applyAlignment="1" applyBorder="1" applyFont="1">
      <alignment readingOrder="0"/>
    </xf>
    <xf borderId="12" fillId="0" fontId="1" numFmtId="165" xfId="0" applyAlignment="1" applyBorder="1" applyFont="1" applyNumberFormat="1">
      <alignment vertical="bottom"/>
    </xf>
    <xf borderId="12" fillId="0" fontId="1" numFmtId="165" xfId="0" applyBorder="1" applyFont="1" applyNumberFormat="1"/>
    <xf borderId="13" fillId="5" fontId="2" numFmtId="10" xfId="0" applyBorder="1" applyFont="1" applyNumberFormat="1"/>
    <xf borderId="35" fillId="0" fontId="1" numFmtId="4" xfId="0" applyAlignment="1" applyBorder="1" applyFont="1" applyNumberFormat="1">
      <alignment readingOrder="0"/>
    </xf>
    <xf borderId="19" fillId="0" fontId="1" numFmtId="4" xfId="0" applyAlignment="1" applyBorder="1" applyFont="1" applyNumberFormat="1">
      <alignment readingOrder="0" vertical="bottom"/>
    </xf>
    <xf borderId="36" fillId="4" fontId="2" numFmtId="165" xfId="0" applyAlignment="1" applyBorder="1" applyFont="1" applyNumberFormat="1">
      <alignment readingOrder="0" vertical="bottom"/>
    </xf>
    <xf borderId="20" fillId="4" fontId="4" numFmtId="165" xfId="0" applyAlignment="1" applyBorder="1" applyFont="1" applyNumberFormat="1">
      <alignment readingOrder="0" vertical="bottom"/>
    </xf>
    <xf borderId="25" fillId="0" fontId="1" numFmtId="0" xfId="0" applyAlignment="1" applyBorder="1" applyFont="1">
      <alignment readingOrder="0"/>
    </xf>
    <xf borderId="24" fillId="0" fontId="1" numFmtId="165" xfId="0" applyAlignment="1" applyBorder="1" applyFont="1" applyNumberFormat="1">
      <alignment vertical="bottom"/>
    </xf>
    <xf borderId="24" fillId="0" fontId="1" numFmtId="165" xfId="0" applyBorder="1" applyFont="1" applyNumberFormat="1"/>
    <xf borderId="26" fillId="5" fontId="2" numFmtId="10" xfId="0" applyBorder="1" applyFont="1" applyNumberFormat="1"/>
    <xf borderId="18" fillId="0" fontId="1" numFmtId="0" xfId="0" applyAlignment="1" applyBorder="1" applyFont="1">
      <alignment horizontal="right" readingOrder="0"/>
    </xf>
    <xf borderId="34" fillId="5" fontId="1" numFmtId="165" xfId="0" applyAlignment="1" applyBorder="1" applyFont="1" applyNumberFormat="1">
      <alignment readingOrder="0" vertical="bottom"/>
    </xf>
    <xf borderId="31" fillId="0" fontId="4" numFmtId="0" xfId="0" applyAlignment="1" applyBorder="1" applyFont="1">
      <alignment vertical="bottom"/>
    </xf>
    <xf borderId="35" fillId="0" fontId="4" numFmtId="0" xfId="0" applyAlignment="1" applyBorder="1" applyFont="1">
      <alignment vertical="bottom"/>
    </xf>
    <xf borderId="19" fillId="0" fontId="4" numFmtId="165" xfId="0" applyAlignment="1" applyBorder="1" applyFont="1" applyNumberFormat="1">
      <alignment vertical="top"/>
    </xf>
    <xf borderId="36" fillId="0" fontId="4" numFmtId="165" xfId="0" applyAlignment="1" applyBorder="1" applyFont="1" applyNumberFormat="1">
      <alignment readingOrder="0" vertical="top"/>
    </xf>
    <xf borderId="20" fillId="0" fontId="4" numFmtId="165" xfId="0" applyAlignment="1" applyBorder="1" applyFont="1" applyNumberFormat="1">
      <alignment readingOrder="0" vertical="top"/>
    </xf>
    <xf borderId="20" fillId="3" fontId="4" numFmtId="165" xfId="0" applyAlignment="1" applyBorder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23" fillId="5" fontId="2" numFmtId="165" xfId="0" applyAlignment="1" applyBorder="1" applyFont="1" applyNumberFormat="1">
      <alignment vertical="bottom"/>
    </xf>
    <xf borderId="17" fillId="5" fontId="4" numFmtId="165" xfId="0" applyAlignment="1" applyBorder="1" applyFont="1" applyNumberFormat="1">
      <alignment vertical="bottom"/>
    </xf>
    <xf borderId="36" fillId="0" fontId="1" numFmtId="0" xfId="0" applyAlignment="1" applyBorder="1" applyFont="1">
      <alignment readingOrder="0"/>
    </xf>
    <xf borderId="35" fillId="0" fontId="1" numFmtId="165" xfId="0" applyAlignment="1" applyBorder="1" applyFont="1" applyNumberFormat="1">
      <alignment vertical="bottom"/>
    </xf>
    <xf borderId="35" fillId="0" fontId="1" numFmtId="165" xfId="0" applyBorder="1" applyFont="1" applyNumberFormat="1"/>
    <xf borderId="37" fillId="5" fontId="2" numFmtId="10" xfId="0" applyBorder="1" applyFont="1" applyNumberFormat="1"/>
    <xf borderId="9" fillId="0" fontId="2" numFmtId="0" xfId="0" applyAlignment="1" applyBorder="1" applyFont="1">
      <alignment readingOrder="0"/>
    </xf>
    <xf borderId="5" fillId="4" fontId="3" numFmtId="165" xfId="0" applyAlignment="1" applyBorder="1" applyFont="1" applyNumberFormat="1">
      <alignment readingOrder="0"/>
    </xf>
    <xf borderId="5" fillId="4" fontId="2" numFmtId="10" xfId="0" applyAlignment="1" applyBorder="1" applyFont="1" applyNumberFormat="1">
      <alignment readingOrder="0"/>
    </xf>
    <xf borderId="15" fillId="0" fontId="2" numFmtId="0" xfId="0" applyAlignment="1" applyBorder="1" applyFont="1">
      <alignment readingOrder="0"/>
    </xf>
    <xf borderId="23" fillId="4" fontId="3" numFmtId="165" xfId="0" applyAlignment="1" applyBorder="1" applyFont="1" applyNumberFormat="1">
      <alignment readingOrder="0"/>
    </xf>
    <xf borderId="23" fillId="4" fontId="2" numFmtId="10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3" fillId="4" fontId="2" numFmtId="165" xfId="0" applyAlignment="1" applyBorder="1" applyFont="1" applyNumberFormat="1">
      <alignment readingOrder="0"/>
    </xf>
    <xf borderId="23" fillId="4" fontId="2" numFmtId="0" xfId="0" applyAlignment="1" applyBorder="1" applyFont="1">
      <alignment readingOrder="0"/>
    </xf>
    <xf borderId="1" fillId="0" fontId="1" numFmtId="0" xfId="0" applyBorder="1" applyFont="1"/>
    <xf borderId="3" fillId="0" fontId="1" numFmtId="0" xfId="0" applyBorder="1" applyFont="1"/>
    <xf borderId="18" fillId="0" fontId="2" numFmtId="0" xfId="0" applyAlignment="1" applyBorder="1" applyFont="1">
      <alignment readingOrder="0"/>
    </xf>
    <xf borderId="34" fillId="4" fontId="2" numFmtId="165" xfId="0" applyAlignment="1" applyBorder="1" applyFont="1" applyNumberFormat="1">
      <alignment readingOrder="0"/>
    </xf>
    <xf borderId="23" fillId="0" fontId="1" numFmtId="0" xfId="0" applyAlignment="1" applyBorder="1" applyFont="1">
      <alignment readingOrder="0"/>
    </xf>
    <xf borderId="9" fillId="0" fontId="1" numFmtId="10" xfId="0" applyBorder="1" applyFont="1" applyNumberFormat="1"/>
    <xf borderId="5" fillId="0" fontId="1" numFmtId="10" xfId="0" applyBorder="1" applyFont="1" applyNumberFormat="1"/>
    <xf borderId="10" fillId="0" fontId="1" numFmtId="10" xfId="0" applyBorder="1" applyFont="1" applyNumberFormat="1"/>
    <xf borderId="6" fillId="0" fontId="1" numFmtId="10" xfId="0" applyBorder="1" applyFont="1" applyNumberFormat="1"/>
    <xf borderId="15" fillId="0" fontId="1" numFmtId="10" xfId="0" applyBorder="1" applyFont="1" applyNumberFormat="1"/>
    <xf borderId="23" fillId="0" fontId="1" numFmtId="10" xfId="0" applyBorder="1" applyFont="1" applyNumberFormat="1"/>
    <xf borderId="0" fillId="0" fontId="1" numFmtId="10" xfId="0" applyFont="1" applyNumberFormat="1"/>
    <xf borderId="17" fillId="0" fontId="1" numFmtId="10" xfId="0" applyBorder="1" applyFont="1" applyNumberFormat="1"/>
    <xf borderId="0" fillId="0" fontId="2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15" fillId="0" fontId="0" numFmtId="10" xfId="0" applyBorder="1" applyFont="1" applyNumberFormat="1"/>
    <xf borderId="23" fillId="3" fontId="0" numFmtId="10" xfId="0" applyBorder="1" applyFont="1" applyNumberFormat="1"/>
    <xf borderId="0" fillId="3" fontId="0" numFmtId="10" xfId="0" applyFont="1" applyNumberFormat="1"/>
    <xf borderId="17" fillId="0" fontId="0" numFmtId="10" xfId="0" applyBorder="1" applyFont="1" applyNumberFormat="1"/>
    <xf borderId="0" fillId="0" fontId="1" numFmtId="0" xfId="0" applyAlignment="1" applyFont="1">
      <alignment horizontal="right" vertical="bottom"/>
    </xf>
    <xf borderId="34" fillId="0" fontId="1" numFmtId="0" xfId="0" applyAlignment="1" applyBorder="1" applyFont="1">
      <alignment readingOrder="0"/>
    </xf>
    <xf borderId="23" fillId="4" fontId="3" numFmtId="10" xfId="0" applyAlignment="1" applyBorder="1" applyFont="1" applyNumberFormat="1">
      <alignment readingOrder="0"/>
    </xf>
    <xf borderId="15" fillId="6" fontId="2" numFmtId="0" xfId="0" applyAlignment="1" applyBorder="1" applyFont="1">
      <alignment readingOrder="0" vertical="bottom"/>
    </xf>
    <xf borderId="0" fillId="6" fontId="2" numFmtId="0" xfId="0" applyAlignment="1" applyFont="1">
      <alignment vertical="bottom"/>
    </xf>
    <xf borderId="23" fillId="6" fontId="2" numFmtId="165" xfId="0" applyAlignment="1" applyBorder="1" applyFont="1" applyNumberFormat="1">
      <alignment vertical="bottom"/>
    </xf>
    <xf borderId="14" fillId="6" fontId="2" numFmtId="0" xfId="0" applyAlignment="1" applyBorder="1" applyFont="1">
      <alignment readingOrder="0"/>
    </xf>
    <xf borderId="1" fillId="6" fontId="2" numFmtId="10" xfId="0" applyBorder="1" applyFont="1" applyNumberFormat="1"/>
    <xf borderId="14" fillId="6" fontId="2" numFmtId="10" xfId="0" applyBorder="1" applyFont="1" applyNumberFormat="1"/>
    <xf borderId="2" fillId="6" fontId="2" numFmtId="10" xfId="0" applyBorder="1" applyFont="1" applyNumberFormat="1"/>
    <xf borderId="3" fillId="6" fontId="2" numFmtId="10" xfId="0" applyBorder="1" applyFont="1" applyNumberFormat="1"/>
    <xf borderId="18" fillId="6" fontId="2" numFmtId="0" xfId="0" applyAlignment="1" applyBorder="1" applyFont="1">
      <alignment readingOrder="0" vertical="bottom"/>
    </xf>
    <xf borderId="19" fillId="6" fontId="2" numFmtId="0" xfId="0" applyAlignment="1" applyBorder="1" applyFont="1">
      <alignment vertical="bottom"/>
    </xf>
    <xf borderId="34" fillId="6" fontId="2" numFmtId="10" xfId="0" applyAlignment="1" applyBorder="1" applyFont="1" applyNumberFormat="1">
      <alignment vertical="bottom"/>
    </xf>
    <xf borderId="2" fillId="6" fontId="2" numFmtId="166" xfId="0" applyBorder="1" applyFont="1" applyNumberFormat="1"/>
    <xf borderId="14" fillId="6" fontId="2" numFmtId="166" xfId="0" applyBorder="1" applyFont="1" applyNumberFormat="1"/>
    <xf borderId="3" fillId="6" fontId="2" numFmtId="166" xfId="0" applyBorder="1" applyFont="1" applyNumberFormat="1"/>
    <xf borderId="34" fillId="4" fontId="3" numFmtId="10" xfId="0" applyAlignment="1" applyBorder="1" applyFont="1" applyNumberFormat="1">
      <alignment readingOrder="0"/>
    </xf>
    <xf borderId="0" fillId="3" fontId="5" numFmtId="0" xfId="0" applyAlignment="1" applyFont="1">
      <alignment vertical="bottom"/>
    </xf>
    <xf borderId="0" fillId="3" fontId="5" numFmtId="165" xfId="0" applyAlignment="1" applyFont="1" applyNumberFormat="1">
      <alignment horizontal="right" vertical="bottom"/>
    </xf>
    <xf borderId="0" fillId="3" fontId="5" numFmtId="0" xfId="0" applyAlignment="1" applyFont="1">
      <alignment horizontal="right" vertical="bottom"/>
    </xf>
    <xf borderId="0" fillId="3" fontId="4" numFmtId="0" xfId="0" applyAlignment="1" applyFont="1">
      <alignment vertical="bottom"/>
    </xf>
    <xf borderId="0" fillId="3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86"/>
    <col customWidth="1" min="2" max="2" width="18.14"/>
    <col customWidth="1" min="3" max="3" width="14.29"/>
    <col customWidth="1" min="4" max="4" width="18.14"/>
    <col customWidth="1" min="5" max="5" width="13.71"/>
    <col customWidth="1" min="6" max="6" width="12.86"/>
    <col customWidth="1" min="7" max="7" width="7.57"/>
    <col customWidth="1" min="8" max="8" width="27.86"/>
    <col customWidth="1" min="10" max="10" width="5.43"/>
    <col customWidth="1" min="11" max="11" width="20.29"/>
    <col customWidth="1" min="13" max="13" width="5.57"/>
    <col customWidth="1" min="14" max="14" width="26.71"/>
    <col customWidth="1" min="17" max="17" width="6.86"/>
    <col customWidth="1" min="18" max="18" width="15.0"/>
    <col customWidth="1" min="19" max="19" width="14.57"/>
    <col customWidth="1" min="20" max="20" width="12.71"/>
    <col customWidth="1" min="21" max="22" width="13.57"/>
    <col customWidth="1" min="23" max="23" width="13.86"/>
    <col customWidth="1" min="24" max="24" width="0.57"/>
    <col customWidth="1" min="25" max="25" width="20.14"/>
    <col customWidth="1" min="26" max="26" width="14.57"/>
    <col customWidth="1" min="27" max="30" width="8.0"/>
  </cols>
  <sheetData>
    <row r="1">
      <c r="S1" s="1"/>
      <c r="T1" s="2"/>
      <c r="U1" s="2"/>
      <c r="V1" s="2"/>
    </row>
    <row r="2">
      <c r="A2" s="1"/>
      <c r="B2" s="3" t="s">
        <v>0</v>
      </c>
      <c r="C2" s="4"/>
      <c r="D2" s="5"/>
      <c r="E2" s="5"/>
      <c r="F2" s="5"/>
      <c r="G2" s="6"/>
      <c r="H2" s="7"/>
      <c r="I2" s="8"/>
      <c r="J2" s="9"/>
      <c r="K2" s="9"/>
      <c r="L2" s="9"/>
      <c r="N2" s="10"/>
      <c r="O2" s="1"/>
      <c r="P2" s="1"/>
      <c r="R2" s="10"/>
      <c r="S2" s="2"/>
      <c r="T2" s="2"/>
      <c r="V2" s="2"/>
    </row>
    <row r="3">
      <c r="A3" s="1"/>
      <c r="B3" s="9"/>
      <c r="C3" s="11"/>
      <c r="G3" s="1"/>
      <c r="H3" s="9"/>
      <c r="I3" s="9"/>
      <c r="J3" s="9"/>
      <c r="K3" s="9"/>
      <c r="L3" s="9"/>
      <c r="N3" s="10"/>
      <c r="O3" s="1"/>
      <c r="P3" s="1"/>
      <c r="R3" s="10"/>
      <c r="S3" s="2"/>
      <c r="T3" s="2"/>
      <c r="V3" s="2"/>
    </row>
    <row r="4">
      <c r="A4" s="1"/>
      <c r="B4" s="9"/>
      <c r="C4" s="11"/>
      <c r="G4" s="1"/>
      <c r="H4" s="9"/>
      <c r="I4" s="9"/>
      <c r="J4" s="9"/>
      <c r="K4" s="9"/>
      <c r="L4" s="9"/>
      <c r="N4" s="10"/>
      <c r="O4" s="1"/>
      <c r="P4" s="1"/>
      <c r="R4" s="10"/>
      <c r="S4" s="2"/>
      <c r="T4" s="2"/>
      <c r="V4" s="2"/>
      <c r="Y4" s="12" t="s">
        <v>1</v>
      </c>
    </row>
    <row r="5">
      <c r="A5" s="1"/>
      <c r="B5" s="13" t="s">
        <v>2</v>
      </c>
      <c r="C5" s="14">
        <v>70000.0</v>
      </c>
      <c r="G5" s="1"/>
      <c r="H5" s="9" t="s">
        <v>3</v>
      </c>
      <c r="N5" s="15" t="s">
        <v>4</v>
      </c>
      <c r="O5" s="16"/>
      <c r="P5" s="1"/>
      <c r="R5" s="15" t="s">
        <v>5</v>
      </c>
      <c r="S5" s="2"/>
      <c r="T5" s="2"/>
      <c r="V5" s="2"/>
      <c r="X5" s="12"/>
      <c r="Y5" s="17" t="s">
        <v>6</v>
      </c>
      <c r="Z5" s="18">
        <v>0.035</v>
      </c>
    </row>
    <row r="6">
      <c r="A6" s="1"/>
      <c r="C6" s="2"/>
      <c r="E6" s="2"/>
      <c r="F6" s="2"/>
      <c r="G6" s="1"/>
      <c r="H6" s="1"/>
      <c r="I6" s="1"/>
      <c r="J6" s="1"/>
      <c r="K6" s="1"/>
      <c r="L6" s="1"/>
      <c r="N6" s="2"/>
      <c r="O6" s="2"/>
      <c r="P6" s="2"/>
      <c r="R6" s="13" t="s">
        <v>7</v>
      </c>
      <c r="S6" s="19"/>
      <c r="T6" s="20">
        <v>1.25</v>
      </c>
      <c r="X6" s="12"/>
      <c r="Y6" s="21" t="s">
        <v>8</v>
      </c>
      <c r="Z6" s="22">
        <f>F29</f>
        <v>1000</v>
      </c>
    </row>
    <row r="7">
      <c r="A7" s="1"/>
      <c r="B7" s="2" t="s">
        <v>9</v>
      </c>
      <c r="C7" s="1"/>
      <c r="D7" s="1"/>
      <c r="E7" s="1"/>
      <c r="F7" s="1"/>
      <c r="G7" s="1"/>
      <c r="H7" s="23" t="s">
        <v>10</v>
      </c>
      <c r="I7" s="24" t="s">
        <v>11</v>
      </c>
      <c r="J7" s="1"/>
      <c r="K7" s="23" t="s">
        <v>12</v>
      </c>
      <c r="L7" s="25"/>
      <c r="N7" s="2"/>
      <c r="O7" s="2" t="s">
        <v>13</v>
      </c>
      <c r="P7" s="2" t="s">
        <v>14</v>
      </c>
    </row>
    <row r="8">
      <c r="A8" s="1"/>
      <c r="B8" s="26" t="s">
        <v>15</v>
      </c>
      <c r="C8" s="27" t="s">
        <v>16</v>
      </c>
      <c r="D8" s="27" t="s">
        <v>17</v>
      </c>
      <c r="E8" s="28" t="s">
        <v>18</v>
      </c>
      <c r="F8" s="29" t="s">
        <v>19</v>
      </c>
      <c r="G8" s="1"/>
      <c r="H8" s="30" t="s">
        <v>20</v>
      </c>
      <c r="I8" s="31">
        <f>E29</f>
        <v>1000</v>
      </c>
      <c r="J8" s="1"/>
      <c r="K8" s="32" t="s">
        <v>2</v>
      </c>
      <c r="L8" s="33">
        <f>C5</f>
        <v>70000</v>
      </c>
      <c r="N8" s="34" t="s">
        <v>21</v>
      </c>
      <c r="O8" s="35">
        <v>1.0</v>
      </c>
      <c r="P8" s="36">
        <f>($L$15*12)-P26</f>
        <v>1378.494367</v>
      </c>
      <c r="R8" s="37"/>
      <c r="S8" s="38"/>
      <c r="T8" s="39" t="s">
        <v>22</v>
      </c>
      <c r="U8" s="40" t="s">
        <v>23</v>
      </c>
      <c r="V8" s="41" t="s">
        <v>24</v>
      </c>
      <c r="X8" s="12"/>
      <c r="Y8" s="42" t="s">
        <v>25</v>
      </c>
      <c r="Z8" s="43" t="s">
        <v>19</v>
      </c>
    </row>
    <row r="9">
      <c r="A9" s="1"/>
      <c r="B9" s="44">
        <v>1.0</v>
      </c>
      <c r="C9" s="45">
        <v>3.0</v>
      </c>
      <c r="D9" s="46">
        <v>1.0</v>
      </c>
      <c r="E9" s="47">
        <v>1000.0</v>
      </c>
      <c r="F9" s="48">
        <v>1000.0</v>
      </c>
      <c r="G9" s="1"/>
      <c r="H9" s="49" t="s">
        <v>26</v>
      </c>
      <c r="I9" s="50">
        <f>C$40*I8</f>
        <v>100</v>
      </c>
      <c r="J9" s="1"/>
      <c r="K9" s="51" t="s">
        <v>27</v>
      </c>
      <c r="L9" s="52">
        <f>1-E$33</f>
        <v>0.8</v>
      </c>
      <c r="N9" s="53" t="s">
        <v>28</v>
      </c>
      <c r="O9" s="54">
        <v>1.0</v>
      </c>
      <c r="P9" s="55">
        <f>((P8)/$L$10)</f>
        <v>0.09846388333</v>
      </c>
      <c r="R9" s="56" t="s">
        <v>20</v>
      </c>
      <c r="S9" s="57"/>
      <c r="T9" s="58"/>
      <c r="U9" s="59">
        <f>I8*12</f>
        <v>12000</v>
      </c>
      <c r="V9" s="60">
        <f>I8*12</f>
        <v>12000</v>
      </c>
      <c r="X9" s="61"/>
      <c r="Y9" s="62">
        <v>1.0</v>
      </c>
      <c r="Z9" s="63">
        <f t="shared" ref="Z9:Z28" si="1">Z$6*((1+Z$5)^(Y9-1))</f>
        <v>1000</v>
      </c>
    </row>
    <row r="10">
      <c r="A10" s="1"/>
      <c r="B10" s="44">
        <v>2.0</v>
      </c>
      <c r="C10" s="64"/>
      <c r="D10" s="46"/>
      <c r="E10" s="65"/>
      <c r="F10" s="66"/>
      <c r="G10" s="1"/>
      <c r="H10" s="51" t="s">
        <v>29</v>
      </c>
      <c r="I10" s="67">
        <f>C$33/12</f>
        <v>116.6666667</v>
      </c>
      <c r="J10" s="1"/>
      <c r="K10" s="68" t="s">
        <v>30</v>
      </c>
      <c r="L10" s="69">
        <f>E33*C5</f>
        <v>14000</v>
      </c>
      <c r="N10" s="34" t="s">
        <v>21</v>
      </c>
      <c r="O10" s="35">
        <v>2.0</v>
      </c>
      <c r="P10" s="36">
        <f>($L$15*12)-P29</f>
        <v>1431.085709</v>
      </c>
      <c r="R10" s="70" t="s">
        <v>31</v>
      </c>
      <c r="T10" s="71">
        <v>0.1</v>
      </c>
      <c r="U10" s="72">
        <f>U9*T10</f>
        <v>1200</v>
      </c>
      <c r="V10" s="73">
        <f>I13*12</f>
        <v>600</v>
      </c>
      <c r="X10" s="61"/>
      <c r="Y10" s="62">
        <v>2.0</v>
      </c>
      <c r="Z10" s="63">
        <f t="shared" si="1"/>
        <v>1035</v>
      </c>
    </row>
    <row r="11">
      <c r="A11" s="1"/>
      <c r="B11" s="44">
        <v>3.0</v>
      </c>
      <c r="C11" s="64"/>
      <c r="D11" s="46"/>
      <c r="E11" s="65"/>
      <c r="F11" s="66"/>
      <c r="G11" s="1"/>
      <c r="H11" s="51" t="s">
        <v>32</v>
      </c>
      <c r="I11" s="67">
        <f>C34</f>
        <v>35</v>
      </c>
      <c r="J11" s="1"/>
      <c r="K11" s="68" t="s">
        <v>33</v>
      </c>
      <c r="L11" s="74">
        <f>E$36</f>
        <v>0</v>
      </c>
      <c r="N11" s="53" t="s">
        <v>28</v>
      </c>
      <c r="O11" s="54">
        <v>2.0</v>
      </c>
      <c r="P11" s="55">
        <f>((P10)/$L$10)</f>
        <v>0.1022204078</v>
      </c>
      <c r="R11" s="70" t="s">
        <v>34</v>
      </c>
      <c r="T11" s="71">
        <v>0.08</v>
      </c>
      <c r="U11" s="72">
        <f>U9*T11</f>
        <v>960</v>
      </c>
      <c r="V11" s="73">
        <f>12*I9</f>
        <v>1200</v>
      </c>
      <c r="X11" s="61"/>
      <c r="Y11" s="62">
        <v>3.0</v>
      </c>
      <c r="Z11" s="63">
        <f t="shared" si="1"/>
        <v>1071.225</v>
      </c>
    </row>
    <row r="12">
      <c r="A12" s="1"/>
      <c r="B12" s="44">
        <v>4.0</v>
      </c>
      <c r="C12" s="64"/>
      <c r="D12" s="46"/>
      <c r="E12" s="65"/>
      <c r="F12" s="75"/>
      <c r="G12" s="1"/>
      <c r="H12" s="51" t="s">
        <v>35</v>
      </c>
      <c r="I12" s="76">
        <f>SUM(C$35:C$39)</f>
        <v>0</v>
      </c>
      <c r="J12" s="1"/>
      <c r="K12" s="68" t="s">
        <v>36</v>
      </c>
      <c r="L12" s="74">
        <f>L8*L9</f>
        <v>56000</v>
      </c>
      <c r="N12" s="34" t="s">
        <v>21</v>
      </c>
      <c r="O12" s="35">
        <v>3.0</v>
      </c>
      <c r="P12" s="36">
        <f>($L$15*12)-P32</f>
        <v>1485.683478</v>
      </c>
      <c r="R12" s="70" t="s">
        <v>37</v>
      </c>
      <c r="T12" s="71">
        <v>0.03</v>
      </c>
      <c r="U12" s="72">
        <f>T12*U9</f>
        <v>360</v>
      </c>
      <c r="V12" s="73">
        <f>0.03*V9</f>
        <v>360</v>
      </c>
      <c r="X12" s="61"/>
      <c r="Y12" s="62">
        <v>4.0</v>
      </c>
      <c r="Z12" s="63">
        <f t="shared" si="1"/>
        <v>1108.717875</v>
      </c>
    </row>
    <row r="13">
      <c r="A13" s="1"/>
      <c r="B13" s="44">
        <v>5.0</v>
      </c>
      <c r="C13" s="64"/>
      <c r="D13" s="46"/>
      <c r="E13" s="65"/>
      <c r="F13" s="75"/>
      <c r="G13" s="1"/>
      <c r="H13" s="49" t="s">
        <v>38</v>
      </c>
      <c r="I13" s="67">
        <f>C41*E29</f>
        <v>50</v>
      </c>
      <c r="J13" s="1"/>
      <c r="K13" s="68" t="s">
        <v>39</v>
      </c>
      <c r="L13" s="77">
        <f>E$34</f>
        <v>0.0375</v>
      </c>
      <c r="N13" s="53" t="s">
        <v>28</v>
      </c>
      <c r="O13" s="54">
        <v>3.0</v>
      </c>
      <c r="P13" s="55">
        <f>((P12)/$L$10)</f>
        <v>0.1061202484</v>
      </c>
      <c r="R13" s="78" t="s">
        <v>40</v>
      </c>
      <c r="T13" s="79"/>
      <c r="U13" s="72">
        <f t="shared" ref="U13:U14" si="2">I10*12</f>
        <v>1400</v>
      </c>
      <c r="V13" s="73">
        <f t="shared" ref="V13:V14" si="3">I10*12</f>
        <v>1400</v>
      </c>
      <c r="X13" s="61"/>
      <c r="Y13" s="62">
        <v>5.0</v>
      </c>
      <c r="Z13" s="63">
        <f t="shared" si="1"/>
        <v>1147.523001</v>
      </c>
    </row>
    <row r="14">
      <c r="A14" s="1"/>
      <c r="B14" s="44">
        <v>6.0</v>
      </c>
      <c r="C14" s="64"/>
      <c r="D14" s="46"/>
      <c r="E14" s="65"/>
      <c r="F14" s="75"/>
      <c r="G14" s="1"/>
      <c r="H14" s="49" t="s">
        <v>41</v>
      </c>
      <c r="I14" s="50">
        <f>I$8*C42</f>
        <v>100</v>
      </c>
      <c r="J14" s="1"/>
      <c r="K14" s="68" t="s">
        <v>42</v>
      </c>
      <c r="L14" s="80">
        <f>E$35</f>
        <v>25</v>
      </c>
      <c r="N14" s="34" t="s">
        <v>21</v>
      </c>
      <c r="O14" s="35">
        <v>4.0</v>
      </c>
      <c r="P14" s="36">
        <f>($L$15*12)-P35</f>
        <v>1542.364223</v>
      </c>
      <c r="R14" s="70" t="s">
        <v>43</v>
      </c>
      <c r="T14" s="79"/>
      <c r="U14" s="72">
        <f t="shared" si="2"/>
        <v>420</v>
      </c>
      <c r="V14" s="73">
        <f t="shared" si="3"/>
        <v>420</v>
      </c>
      <c r="Y14" s="62">
        <v>6.0</v>
      </c>
      <c r="Z14" s="63">
        <f t="shared" si="1"/>
        <v>1187.686306</v>
      </c>
    </row>
    <row r="15">
      <c r="A15" s="1"/>
      <c r="B15" s="44"/>
      <c r="C15" s="64"/>
      <c r="D15" s="46"/>
      <c r="E15" s="65"/>
      <c r="F15" s="75"/>
      <c r="G15" s="1"/>
      <c r="H15" s="81" t="s">
        <v>44</v>
      </c>
      <c r="I15" s="82">
        <f>SUM(I9:I14)</f>
        <v>401.6666667</v>
      </c>
      <c r="J15" s="1"/>
      <c r="K15" s="81" t="s">
        <v>45</v>
      </c>
      <c r="L15" s="82">
        <f>-pmt(L13/12,L14*12, L12)</f>
        <v>287.9134718</v>
      </c>
      <c r="N15" s="53" t="s">
        <v>28</v>
      </c>
      <c r="O15" s="54">
        <v>4.0</v>
      </c>
      <c r="P15" s="55">
        <f>((P14)/$L$10)</f>
        <v>0.1101688731</v>
      </c>
      <c r="R15" s="83" t="s">
        <v>46</v>
      </c>
      <c r="S15" s="84"/>
      <c r="T15" s="85">
        <v>0.2</v>
      </c>
      <c r="U15" s="86">
        <f>U9*T15</f>
        <v>2400</v>
      </c>
      <c r="V15" s="87">
        <f>(I12+I14)*12</f>
        <v>1200</v>
      </c>
      <c r="Y15" s="62">
        <v>7.0</v>
      </c>
      <c r="Z15" s="63">
        <f t="shared" si="1"/>
        <v>1229.255326</v>
      </c>
    </row>
    <row r="16">
      <c r="A16" s="1"/>
      <c r="B16" s="44"/>
      <c r="C16" s="64"/>
      <c r="D16" s="46"/>
      <c r="E16" s="65"/>
      <c r="F16" s="75"/>
      <c r="G16" s="1"/>
      <c r="H16" s="88" t="s">
        <v>47</v>
      </c>
      <c r="I16" s="89">
        <f>I8-SUM(I9:I14)</f>
        <v>598.3333333</v>
      </c>
      <c r="J16" s="1"/>
      <c r="K16" s="88" t="s">
        <v>48</v>
      </c>
      <c r="L16" s="89">
        <f>I16-L15</f>
        <v>310.4198616</v>
      </c>
      <c r="N16" s="34" t="s">
        <v>21</v>
      </c>
      <c r="O16" s="35">
        <v>5.0</v>
      </c>
      <c r="P16" s="36">
        <f>($L$15*12)-P38</f>
        <v>1601.207412</v>
      </c>
      <c r="R16" s="90" t="s">
        <v>49</v>
      </c>
      <c r="T16" s="91"/>
      <c r="U16" s="92">
        <f t="shared" ref="U16:V16" si="4">SUM(U10:U14,U15)</f>
        <v>6740</v>
      </c>
      <c r="V16" s="93">
        <f t="shared" si="4"/>
        <v>5180</v>
      </c>
      <c r="Y16" s="62">
        <v>8.0</v>
      </c>
      <c r="Z16" s="63">
        <f t="shared" si="1"/>
        <v>1272.279263</v>
      </c>
    </row>
    <row r="17">
      <c r="A17" s="1"/>
      <c r="B17" s="44"/>
      <c r="C17" s="64"/>
      <c r="D17" s="46"/>
      <c r="E17" s="65"/>
      <c r="F17" s="75"/>
      <c r="G17" s="1"/>
      <c r="H17" s="88" t="s">
        <v>50</v>
      </c>
      <c r="I17" s="89">
        <f>I16*12</f>
        <v>7180</v>
      </c>
      <c r="J17" s="1"/>
      <c r="K17" s="88" t="s">
        <v>51</v>
      </c>
      <c r="L17" s="89">
        <f>L16*12</f>
        <v>3725.038339</v>
      </c>
      <c r="N17" s="53" t="s">
        <v>28</v>
      </c>
      <c r="O17" s="54">
        <v>5.0</v>
      </c>
      <c r="P17" s="55">
        <f>((P16)/$L$10)</f>
        <v>0.114371958</v>
      </c>
      <c r="R17" s="90" t="s">
        <v>52</v>
      </c>
      <c r="T17" s="91"/>
      <c r="U17" s="94">
        <f t="shared" ref="U17:V17" si="5">U9-U16</f>
        <v>5260</v>
      </c>
      <c r="V17" s="95">
        <f t="shared" si="5"/>
        <v>6820</v>
      </c>
      <c r="Y17" s="62">
        <v>9.0</v>
      </c>
      <c r="Z17" s="63">
        <f t="shared" si="1"/>
        <v>1316.809037</v>
      </c>
    </row>
    <row r="18" ht="18.0" customHeight="1">
      <c r="A18" s="1"/>
      <c r="B18" s="44"/>
      <c r="C18" s="64"/>
      <c r="D18" s="46"/>
      <c r="E18" s="65"/>
      <c r="F18" s="75"/>
      <c r="G18" s="1"/>
      <c r="H18" s="53" t="s">
        <v>53</v>
      </c>
      <c r="I18" s="96">
        <f>I17/L8</f>
        <v>0.1025714286</v>
      </c>
      <c r="J18" s="1"/>
      <c r="K18" s="97" t="s">
        <v>54</v>
      </c>
      <c r="L18" s="98">
        <f>L17/(L10+L11)</f>
        <v>0.266074167</v>
      </c>
      <c r="N18" s="1"/>
      <c r="O18" s="1"/>
      <c r="P18" s="1"/>
      <c r="R18" s="99" t="s">
        <v>55</v>
      </c>
      <c r="S18" s="84"/>
      <c r="T18" s="100"/>
      <c r="U18" s="101">
        <f>L15*12</f>
        <v>3454.961661</v>
      </c>
      <c r="V18" s="102">
        <f>U18</f>
        <v>3454.961661</v>
      </c>
      <c r="Y18" s="62">
        <v>10.0</v>
      </c>
      <c r="Z18" s="63">
        <f t="shared" si="1"/>
        <v>1362.897353</v>
      </c>
    </row>
    <row r="19" ht="16.5" customHeight="1">
      <c r="A19" s="1"/>
      <c r="B19" s="44"/>
      <c r="C19" s="64"/>
      <c r="D19" s="46"/>
      <c r="E19" s="65"/>
      <c r="F19" s="75"/>
      <c r="G19" s="1"/>
      <c r="H19" s="1"/>
      <c r="I19" s="1"/>
      <c r="J19" s="1"/>
      <c r="K19" s="2"/>
      <c r="L19" s="2"/>
      <c r="R19" s="1"/>
      <c r="S19" s="1"/>
      <c r="T19" s="1"/>
      <c r="U19" s="1"/>
      <c r="V19" s="1"/>
      <c r="Y19" s="62">
        <v>11.0</v>
      </c>
      <c r="Z19" s="63">
        <f t="shared" si="1"/>
        <v>1410.598761</v>
      </c>
    </row>
    <row r="20">
      <c r="A20" s="1"/>
      <c r="B20" s="44"/>
      <c r="C20" s="64"/>
      <c r="D20" s="46"/>
      <c r="E20" s="65"/>
      <c r="F20" s="75"/>
      <c r="G20" s="1"/>
      <c r="H20" s="2" t="s">
        <v>56</v>
      </c>
      <c r="N20" s="103" t="s">
        <v>57</v>
      </c>
      <c r="O20" s="16"/>
      <c r="P20" s="1"/>
      <c r="R20" s="104" t="s">
        <v>58</v>
      </c>
      <c r="S20" s="57"/>
      <c r="T20" s="105"/>
      <c r="U20" s="106">
        <f t="shared" ref="U20:V20" si="6">U17/U18</f>
        <v>1.522448153</v>
      </c>
      <c r="V20" s="107">
        <f t="shared" si="6"/>
        <v>1.9739727</v>
      </c>
      <c r="Y20" s="62">
        <v>12.0</v>
      </c>
      <c r="Z20" s="63">
        <f t="shared" si="1"/>
        <v>1459.969717</v>
      </c>
    </row>
    <row r="21">
      <c r="A21" s="1"/>
      <c r="B21" s="44"/>
      <c r="C21" s="64"/>
      <c r="D21" s="46"/>
      <c r="E21" s="65"/>
      <c r="F21" s="75"/>
      <c r="G21" s="1"/>
      <c r="H21" s="1"/>
      <c r="I21" s="1"/>
      <c r="J21" s="1"/>
      <c r="K21" s="1"/>
      <c r="L21" s="1"/>
      <c r="N21" s="13" t="s">
        <v>59</v>
      </c>
      <c r="O21" s="108"/>
      <c r="P21" s="109">
        <v>0.8</v>
      </c>
      <c r="R21" s="110" t="s">
        <v>60</v>
      </c>
      <c r="S21" s="84"/>
      <c r="T21" s="111"/>
      <c r="U21" s="112">
        <f t="shared" ref="U21:V21" si="7">U17-U18</f>
        <v>1805.038339</v>
      </c>
      <c r="V21" s="113">
        <f t="shared" si="7"/>
        <v>3365.038339</v>
      </c>
      <c r="Y21" s="62">
        <v>13.0</v>
      </c>
      <c r="Z21" s="63">
        <f t="shared" si="1"/>
        <v>1511.068657</v>
      </c>
    </row>
    <row r="22">
      <c r="A22" s="2"/>
      <c r="B22" s="44"/>
      <c r="C22" s="64"/>
      <c r="D22" s="46"/>
      <c r="E22" s="65"/>
      <c r="F22" s="75"/>
      <c r="G22" s="1"/>
      <c r="H22" s="23" t="s">
        <v>10</v>
      </c>
      <c r="I22" s="24" t="s">
        <v>11</v>
      </c>
      <c r="J22" s="1"/>
      <c r="K22" s="30" t="s">
        <v>12</v>
      </c>
      <c r="L22" s="114"/>
      <c r="N22" s="13" t="s">
        <v>61</v>
      </c>
      <c r="O22" s="115"/>
      <c r="P22" s="109">
        <v>0.51</v>
      </c>
      <c r="Y22" s="62">
        <v>14.0</v>
      </c>
      <c r="Z22" s="63">
        <f t="shared" si="1"/>
        <v>1563.95606</v>
      </c>
    </row>
    <row r="23">
      <c r="A23" s="1"/>
      <c r="B23" s="44"/>
      <c r="C23" s="64"/>
      <c r="D23" s="46"/>
      <c r="E23" s="65"/>
      <c r="F23" s="75"/>
      <c r="G23" s="1"/>
      <c r="H23" s="30" t="s">
        <v>20</v>
      </c>
      <c r="I23" s="31">
        <f>F29</f>
        <v>1000</v>
      </c>
      <c r="J23" s="1"/>
      <c r="K23" s="32" t="s">
        <v>2</v>
      </c>
      <c r="L23" s="33">
        <f>C5</f>
        <v>70000</v>
      </c>
      <c r="R23" s="12" t="s">
        <v>62</v>
      </c>
      <c r="Y23" s="62">
        <v>15.0</v>
      </c>
      <c r="Z23" s="63">
        <f t="shared" si="1"/>
        <v>1618.694522</v>
      </c>
    </row>
    <row r="24">
      <c r="A24" s="1"/>
      <c r="B24" s="44"/>
      <c r="C24" s="64"/>
      <c r="D24" s="46"/>
      <c r="E24" s="65"/>
      <c r="F24" s="75"/>
      <c r="G24" s="1"/>
      <c r="H24" s="49" t="s">
        <v>26</v>
      </c>
      <c r="I24" s="50">
        <f>C$40*I23</f>
        <v>100</v>
      </c>
      <c r="J24" s="1"/>
      <c r="K24" s="51" t="s">
        <v>27</v>
      </c>
      <c r="L24" s="52">
        <f>1-E$33</f>
        <v>0.8</v>
      </c>
      <c r="N24" s="2"/>
      <c r="O24" s="2" t="s">
        <v>13</v>
      </c>
      <c r="P24" s="2" t="s">
        <v>14</v>
      </c>
      <c r="R24" s="42" t="s">
        <v>63</v>
      </c>
      <c r="S24" s="116">
        <v>0.035</v>
      </c>
      <c r="X24" s="61"/>
      <c r="Y24" s="62">
        <v>16.0</v>
      </c>
      <c r="Z24" s="63">
        <f t="shared" si="1"/>
        <v>1675.348831</v>
      </c>
      <c r="AA24" s="61"/>
      <c r="AB24" s="61"/>
      <c r="AC24" s="61"/>
      <c r="AD24" s="61"/>
    </row>
    <row r="25">
      <c r="A25" s="1"/>
      <c r="B25" s="44"/>
      <c r="C25" s="64"/>
      <c r="D25" s="46"/>
      <c r="E25" s="65"/>
      <c r="F25" s="75"/>
      <c r="G25" s="1"/>
      <c r="H25" s="51" t="s">
        <v>29</v>
      </c>
      <c r="I25" s="67">
        <f>C$33/12</f>
        <v>116.6666667</v>
      </c>
      <c r="J25" s="1"/>
      <c r="K25" s="68" t="s">
        <v>30</v>
      </c>
      <c r="L25" s="69">
        <f>E33*L23</f>
        <v>14000</v>
      </c>
      <c r="N25" s="32" t="s">
        <v>64</v>
      </c>
      <c r="O25" s="117">
        <v>1.0</v>
      </c>
      <c r="P25" s="118">
        <f>(P21*$L$8)/27.5</f>
        <v>2036.363636</v>
      </c>
      <c r="Y25" s="62">
        <v>17.0</v>
      </c>
      <c r="Z25" s="63">
        <f t="shared" si="1"/>
        <v>1733.98604</v>
      </c>
    </row>
    <row r="26">
      <c r="A26" s="1"/>
      <c r="B26" s="44"/>
      <c r="C26" s="64"/>
      <c r="D26" s="46"/>
      <c r="E26" s="65"/>
      <c r="F26" s="75"/>
      <c r="G26" s="1"/>
      <c r="H26" s="51" t="s">
        <v>32</v>
      </c>
      <c r="I26" s="67">
        <f>C$34</f>
        <v>35</v>
      </c>
      <c r="J26" s="1"/>
      <c r="K26" s="68" t="s">
        <v>33</v>
      </c>
      <c r="L26" s="74">
        <f>E$36</f>
        <v>0</v>
      </c>
      <c r="N26" s="49" t="s">
        <v>65</v>
      </c>
      <c r="O26" s="1">
        <v>1.0</v>
      </c>
      <c r="P26" s="119">
        <f>-CUMIPMT($L$13/12,$L$14*12,$L$12,(1+(12*(O26-1))),(12*O26),0)</f>
        <v>2076.467295</v>
      </c>
      <c r="R26" s="120" t="s">
        <v>25</v>
      </c>
      <c r="S26" s="121" t="s">
        <v>66</v>
      </c>
      <c r="T26" s="121" t="s">
        <v>67</v>
      </c>
      <c r="U26" s="122" t="s">
        <v>68</v>
      </c>
      <c r="Y26" s="62">
        <v>18.0</v>
      </c>
      <c r="Z26" s="63">
        <f t="shared" si="1"/>
        <v>1794.675551</v>
      </c>
    </row>
    <row r="27">
      <c r="A27" s="1"/>
      <c r="B27" s="44"/>
      <c r="C27" s="123"/>
      <c r="D27" s="46"/>
      <c r="E27" s="65"/>
      <c r="F27" s="75"/>
      <c r="G27" s="1"/>
      <c r="H27" s="51" t="s">
        <v>35</v>
      </c>
      <c r="I27" s="76">
        <f>SUM(C$35:C$39)</f>
        <v>0</v>
      </c>
      <c r="J27" s="1"/>
      <c r="K27" s="68" t="s">
        <v>36</v>
      </c>
      <c r="L27" s="74">
        <f>L23*L24</f>
        <v>56000</v>
      </c>
      <c r="N27" s="53" t="s">
        <v>69</v>
      </c>
      <c r="O27" s="54">
        <v>1.0</v>
      </c>
      <c r="P27" s="124">
        <f>SUM($P$25+$P26)</f>
        <v>4112.830931</v>
      </c>
      <c r="R27" s="125">
        <v>1.0</v>
      </c>
      <c r="S27" s="126">
        <f>L8+(L8*$S$24)</f>
        <v>72450</v>
      </c>
      <c r="T27" s="127">
        <f>S27-L8</f>
        <v>2450</v>
      </c>
      <c r="U27" s="128">
        <f t="shared" ref="U27:U31" si="8">T27/$L$10</f>
        <v>0.175</v>
      </c>
      <c r="Y27" s="62">
        <v>19.0</v>
      </c>
      <c r="Z27" s="63">
        <f t="shared" si="1"/>
        <v>1857.489196</v>
      </c>
    </row>
    <row r="28">
      <c r="A28" s="1"/>
      <c r="B28" s="44"/>
      <c r="C28" s="129"/>
      <c r="D28" s="130"/>
      <c r="E28" s="131"/>
      <c r="F28" s="132"/>
      <c r="G28" s="1"/>
      <c r="H28" s="49" t="s">
        <v>38</v>
      </c>
      <c r="I28" s="50">
        <f>C$41*I23</f>
        <v>50</v>
      </c>
      <c r="J28" s="1"/>
      <c r="K28" s="68" t="s">
        <v>39</v>
      </c>
      <c r="L28" s="77">
        <f>E$34</f>
        <v>0.0375</v>
      </c>
      <c r="N28" s="32" t="s">
        <v>64</v>
      </c>
      <c r="O28" s="1">
        <v>2.0</v>
      </c>
      <c r="P28" s="118">
        <f>(P21*$L$8)/27.5</f>
        <v>2036.363636</v>
      </c>
      <c r="R28" s="133">
        <v>2.0</v>
      </c>
      <c r="S28" s="134">
        <f t="shared" ref="S28:S31" si="10">S27+(S27*$S$24)</f>
        <v>74985.75</v>
      </c>
      <c r="T28" s="135">
        <f t="shared" ref="T28:T31" si="11">S28-S27</f>
        <v>2535.75</v>
      </c>
      <c r="U28" s="136">
        <f t="shared" si="8"/>
        <v>0.181125</v>
      </c>
      <c r="Y28" s="137">
        <v>20.0</v>
      </c>
      <c r="Z28" s="138">
        <f t="shared" si="1"/>
        <v>1922.501317</v>
      </c>
    </row>
    <row r="29">
      <c r="A29" s="1"/>
      <c r="B29" s="139" t="s">
        <v>70</v>
      </c>
      <c r="C29" s="140"/>
      <c r="D29" s="141"/>
      <c r="E29" s="142">
        <f t="shared" ref="E29:F29" si="9">SUM(E9:E28)</f>
        <v>1000</v>
      </c>
      <c r="F29" s="143">
        <f t="shared" si="9"/>
        <v>1000</v>
      </c>
      <c r="G29" s="1"/>
      <c r="H29" s="49" t="s">
        <v>41</v>
      </c>
      <c r="I29" s="50">
        <f>C42*I23</f>
        <v>100</v>
      </c>
      <c r="J29" s="1"/>
      <c r="K29" s="68" t="s">
        <v>42</v>
      </c>
      <c r="L29" s="80">
        <f>E$35</f>
        <v>25</v>
      </c>
      <c r="N29" s="49" t="s">
        <v>65</v>
      </c>
      <c r="O29" s="1">
        <v>2.0</v>
      </c>
      <c r="P29" s="119">
        <f>-CUMIPMT($L$13/12,$L$14*12,$L$12,(1+(12*(O29-1))),(12*O29),0)</f>
        <v>2023.875953</v>
      </c>
      <c r="R29" s="133">
        <v>3.0</v>
      </c>
      <c r="S29" s="134">
        <f t="shared" si="10"/>
        <v>77610.25125</v>
      </c>
      <c r="T29" s="135">
        <f t="shared" si="11"/>
        <v>2624.50125</v>
      </c>
      <c r="U29" s="136">
        <f t="shared" si="8"/>
        <v>0.187464375</v>
      </c>
      <c r="Y29" s="61"/>
    </row>
    <row r="30">
      <c r="A30" s="1"/>
      <c r="G30" s="1"/>
      <c r="H30" s="81" t="s">
        <v>44</v>
      </c>
      <c r="I30" s="144">
        <f>SUM(I24:I29)</f>
        <v>401.6666667</v>
      </c>
      <c r="J30" s="1"/>
      <c r="K30" s="81" t="s">
        <v>71</v>
      </c>
      <c r="L30" s="82">
        <f>-pmt(L28/12,L29*12, L27)</f>
        <v>287.9134718</v>
      </c>
      <c r="N30" s="88" t="s">
        <v>69</v>
      </c>
      <c r="O30" s="145">
        <v>2.0</v>
      </c>
      <c r="P30" s="146">
        <f>SUM($P$25+$P29)</f>
        <v>4060.239589</v>
      </c>
      <c r="R30" s="133">
        <v>4.0</v>
      </c>
      <c r="S30" s="134">
        <f t="shared" si="10"/>
        <v>80326.61004</v>
      </c>
      <c r="T30" s="135">
        <f t="shared" si="11"/>
        <v>2716.358794</v>
      </c>
      <c r="U30" s="136">
        <f t="shared" si="8"/>
        <v>0.1940256281</v>
      </c>
    </row>
    <row r="31">
      <c r="A31" s="1"/>
      <c r="B31" s="12" t="s">
        <v>72</v>
      </c>
      <c r="D31" s="12" t="s">
        <v>55</v>
      </c>
      <c r="G31" s="1"/>
      <c r="H31" s="88" t="s">
        <v>47</v>
      </c>
      <c r="I31" s="89">
        <f>I23-I30</f>
        <v>598.3333333</v>
      </c>
      <c r="J31" s="1"/>
      <c r="K31" s="88" t="s">
        <v>48</v>
      </c>
      <c r="L31" s="147">
        <f>I31-L30</f>
        <v>310.4198616</v>
      </c>
      <c r="N31" s="32" t="s">
        <v>64</v>
      </c>
      <c r="O31" s="117">
        <v>3.0</v>
      </c>
      <c r="P31" s="118">
        <f>(P21*$L$8)/27.5</f>
        <v>2036.363636</v>
      </c>
      <c r="R31" s="148">
        <v>5.0</v>
      </c>
      <c r="S31" s="149">
        <f t="shared" si="10"/>
        <v>83138.0414</v>
      </c>
      <c r="T31" s="150">
        <f t="shared" si="11"/>
        <v>2811.431352</v>
      </c>
      <c r="U31" s="151">
        <f t="shared" si="8"/>
        <v>0.2008165251</v>
      </c>
    </row>
    <row r="32">
      <c r="A32" s="1"/>
      <c r="G32" s="1"/>
      <c r="H32" s="88" t="s">
        <v>50</v>
      </c>
      <c r="I32" s="89">
        <f>I31*12</f>
        <v>7180</v>
      </c>
      <c r="J32" s="1"/>
      <c r="K32" s="88" t="s">
        <v>51</v>
      </c>
      <c r="L32" s="89">
        <f>L31*12</f>
        <v>3725.038339</v>
      </c>
      <c r="N32" s="49" t="s">
        <v>65</v>
      </c>
      <c r="O32" s="1">
        <v>3.0</v>
      </c>
      <c r="P32" s="119">
        <f>-CUMIPMT($L$13/12,$L$14*12,$L$12,(1+(12*(O32-1))),(12*O32),0)</f>
        <v>1969.278183</v>
      </c>
    </row>
    <row r="33">
      <c r="A33" s="1"/>
      <c r="B33" s="152" t="s">
        <v>73</v>
      </c>
      <c r="C33" s="153">
        <v>1400.0</v>
      </c>
      <c r="D33" s="152" t="s">
        <v>74</v>
      </c>
      <c r="E33" s="154">
        <v>0.2</v>
      </c>
      <c r="G33" s="1"/>
      <c r="H33" s="53" t="s">
        <v>53</v>
      </c>
      <c r="I33" s="96">
        <f>I32/L23</f>
        <v>0.1025714286</v>
      </c>
      <c r="J33" s="1"/>
      <c r="K33" s="97" t="s">
        <v>54</v>
      </c>
      <c r="L33" s="98">
        <f>L32/(L25+L26)</f>
        <v>0.266074167</v>
      </c>
      <c r="N33" s="53" t="s">
        <v>69</v>
      </c>
      <c r="O33" s="54">
        <v>3.0</v>
      </c>
      <c r="P33" s="124">
        <f>SUM($P$25+$P32)</f>
        <v>4005.64182</v>
      </c>
      <c r="R33" s="12" t="s">
        <v>75</v>
      </c>
    </row>
    <row r="34">
      <c r="A34" s="1"/>
      <c r="B34" s="155" t="s">
        <v>76</v>
      </c>
      <c r="C34" s="156">
        <v>35.0</v>
      </c>
      <c r="D34" s="155" t="s">
        <v>77</v>
      </c>
      <c r="E34" s="157">
        <v>0.0375</v>
      </c>
      <c r="G34" s="1"/>
      <c r="H34" s="1"/>
      <c r="I34" s="1"/>
      <c r="J34" s="1"/>
      <c r="K34" s="1"/>
      <c r="L34" s="1"/>
      <c r="N34" s="32" t="s">
        <v>64</v>
      </c>
      <c r="O34" s="1">
        <v>4.0</v>
      </c>
      <c r="P34" s="118">
        <f>(P21*$L$8)/27.5</f>
        <v>2036.363636</v>
      </c>
      <c r="R34" s="43" t="s">
        <v>13</v>
      </c>
      <c r="S34" s="158">
        <v>1.0</v>
      </c>
      <c r="T34" s="43">
        <v>2.0</v>
      </c>
      <c r="U34" s="158">
        <v>3.0</v>
      </c>
      <c r="V34" s="43">
        <v>4.0</v>
      </c>
      <c r="W34" s="159">
        <v>5.0</v>
      </c>
    </row>
    <row r="35">
      <c r="A35" s="1"/>
      <c r="B35" s="155" t="s">
        <v>78</v>
      </c>
      <c r="C35" s="160">
        <v>0.0</v>
      </c>
      <c r="D35" s="155" t="s">
        <v>79</v>
      </c>
      <c r="E35" s="161">
        <v>25.0</v>
      </c>
      <c r="G35" s="1"/>
      <c r="H35" s="2"/>
      <c r="N35" s="49" t="s">
        <v>65</v>
      </c>
      <c r="O35" s="1">
        <v>4.0</v>
      </c>
      <c r="P35" s="119">
        <f>-CUMIPMT($L$13/12,$L$14*12,$L$12,(1+(12*(O35-1))),(12*O35),0)</f>
        <v>1912.597438</v>
      </c>
      <c r="R35" s="43" t="s">
        <v>80</v>
      </c>
      <c r="S35" s="162"/>
      <c r="T35" s="19"/>
      <c r="U35" s="19"/>
      <c r="V35" s="19"/>
      <c r="W35" s="163"/>
    </row>
    <row r="36">
      <c r="A36" s="1"/>
      <c r="B36" s="155" t="s">
        <v>81</v>
      </c>
      <c r="C36" s="156">
        <v>0.0</v>
      </c>
      <c r="D36" s="164" t="s">
        <v>33</v>
      </c>
      <c r="E36" s="165">
        <v>0.0</v>
      </c>
      <c r="G36" s="1"/>
      <c r="H36" s="1"/>
      <c r="I36" s="1"/>
      <c r="J36" s="1"/>
      <c r="K36" s="1"/>
      <c r="L36" s="1"/>
      <c r="N36" s="88" t="s">
        <v>69</v>
      </c>
      <c r="O36" s="145">
        <v>4.0</v>
      </c>
      <c r="P36" s="146">
        <f>SUM($P$25+$P35)</f>
        <v>3948.961075</v>
      </c>
      <c r="R36" s="166" t="s">
        <v>82</v>
      </c>
      <c r="S36" s="167">
        <f t="shared" ref="S36:W36" si="12">$L$33</f>
        <v>0.266074167</v>
      </c>
      <c r="T36" s="168">
        <f t="shared" si="12"/>
        <v>0.266074167</v>
      </c>
      <c r="U36" s="169">
        <f t="shared" si="12"/>
        <v>0.266074167</v>
      </c>
      <c r="V36" s="168">
        <f t="shared" si="12"/>
        <v>0.266074167</v>
      </c>
      <c r="W36" s="170">
        <f t="shared" si="12"/>
        <v>0.266074167</v>
      </c>
    </row>
    <row r="37">
      <c r="A37" s="1"/>
      <c r="B37" s="155" t="s">
        <v>83</v>
      </c>
      <c r="C37" s="160">
        <v>0.0</v>
      </c>
      <c r="G37" s="1"/>
      <c r="H37" s="2"/>
      <c r="I37" s="2"/>
      <c r="J37" s="1"/>
      <c r="K37" s="2"/>
      <c r="L37" s="1"/>
      <c r="N37" s="32" t="s">
        <v>64</v>
      </c>
      <c r="O37" s="117">
        <v>5.0</v>
      </c>
      <c r="P37" s="118">
        <f>(P21*$L$8)/27.5</f>
        <v>2036.363636</v>
      </c>
      <c r="R37" s="166" t="s">
        <v>84</v>
      </c>
      <c r="S37" s="171">
        <f>P9</f>
        <v>0.09846388333</v>
      </c>
      <c r="T37" s="172">
        <f>P11</f>
        <v>0.1022204078</v>
      </c>
      <c r="U37" s="173">
        <f>P13</f>
        <v>0.1061202484</v>
      </c>
      <c r="V37" s="172">
        <f>P15</f>
        <v>0.1101688731</v>
      </c>
      <c r="W37" s="174">
        <f>P17</f>
        <v>0.114371958</v>
      </c>
    </row>
    <row r="38">
      <c r="A38" s="1"/>
      <c r="B38" s="155" t="s">
        <v>85</v>
      </c>
      <c r="C38" s="160">
        <v>0.0</v>
      </c>
      <c r="G38" s="1"/>
      <c r="H38" s="2"/>
      <c r="I38" s="175"/>
      <c r="J38" s="1"/>
      <c r="K38" s="1"/>
      <c r="L38" s="176"/>
      <c r="N38" s="49" t="s">
        <v>65</v>
      </c>
      <c r="O38" s="1">
        <v>5.0</v>
      </c>
      <c r="P38" s="119">
        <f>-CUMIPMT($L$13/12,$L$14*12,$L$12,(1+(12*(O38-1))),(12*O38),0)</f>
        <v>1853.754249</v>
      </c>
      <c r="R38" s="166" t="s">
        <v>86</v>
      </c>
      <c r="S38" s="177">
        <f>(P27*P22)/L10</f>
        <v>0.1498245553</v>
      </c>
      <c r="T38" s="178">
        <f>(P30*P22)/L10</f>
        <v>0.1479087279</v>
      </c>
      <c r="U38" s="179">
        <f>(P33*P22)/L10</f>
        <v>0.1459198091</v>
      </c>
      <c r="V38" s="178">
        <f>(P36*P22)/L10</f>
        <v>0.1438550106</v>
      </c>
      <c r="W38" s="180">
        <f>(P39*P22)/L10</f>
        <v>0.1417114373</v>
      </c>
    </row>
    <row r="39">
      <c r="A39" s="1"/>
      <c r="B39" s="155" t="s">
        <v>87</v>
      </c>
      <c r="C39" s="156">
        <v>0.0</v>
      </c>
      <c r="G39" s="1"/>
      <c r="H39" s="1"/>
      <c r="I39" s="176"/>
      <c r="J39" s="1"/>
      <c r="K39" s="1"/>
      <c r="L39" s="181"/>
      <c r="N39" s="53" t="s">
        <v>69</v>
      </c>
      <c r="O39" s="54">
        <v>5.0</v>
      </c>
      <c r="P39" s="124">
        <f>SUM($P$25+$P38)</f>
        <v>3890.117886</v>
      </c>
      <c r="R39" s="182" t="s">
        <v>88</v>
      </c>
      <c r="S39" s="171">
        <f>U27</f>
        <v>0.175</v>
      </c>
      <c r="T39" s="172">
        <f>U28</f>
        <v>0.181125</v>
      </c>
      <c r="U39" s="173">
        <f>U29</f>
        <v>0.187464375</v>
      </c>
      <c r="V39" s="172">
        <f>U30</f>
        <v>0.1940256281</v>
      </c>
      <c r="W39" s="174">
        <f>U31</f>
        <v>0.2008165251</v>
      </c>
    </row>
    <row r="40">
      <c r="A40" s="1"/>
      <c r="B40" s="155" t="s">
        <v>89</v>
      </c>
      <c r="C40" s="183">
        <v>0.1</v>
      </c>
      <c r="G40" s="1"/>
      <c r="N40" s="184" t="s">
        <v>90</v>
      </c>
      <c r="O40" s="185"/>
      <c r="P40" s="186">
        <f>(AVERAGE(P27,P30,P33,P36,P39))*P22</f>
        <v>2041.814713</v>
      </c>
      <c r="R40" s="187" t="s">
        <v>91</v>
      </c>
      <c r="S40" s="188">
        <f t="shared" ref="S40:W40" si="13">SUM(S36:S39)</f>
        <v>0.6893626057</v>
      </c>
      <c r="T40" s="189">
        <f t="shared" si="13"/>
        <v>0.6973283027</v>
      </c>
      <c r="U40" s="190">
        <f t="shared" si="13"/>
        <v>0.7055785996</v>
      </c>
      <c r="V40" s="189">
        <f t="shared" si="13"/>
        <v>0.7141236788</v>
      </c>
      <c r="W40" s="191">
        <f t="shared" si="13"/>
        <v>0.7229740874</v>
      </c>
    </row>
    <row r="41">
      <c r="A41" s="1"/>
      <c r="B41" s="155" t="s">
        <v>92</v>
      </c>
      <c r="C41" s="183">
        <v>0.05</v>
      </c>
      <c r="G41" s="1"/>
      <c r="N41" s="192" t="s">
        <v>93</v>
      </c>
      <c r="O41" s="193"/>
      <c r="P41" s="194">
        <f>P40/L10</f>
        <v>0.145843908</v>
      </c>
      <c r="R41" s="187" t="s">
        <v>94</v>
      </c>
      <c r="S41" s="195">
        <f t="shared" ref="S41:W41" si="14">S40*$L$10</f>
        <v>9651.07648</v>
      </c>
      <c r="T41" s="196">
        <f t="shared" si="14"/>
        <v>9762.596238</v>
      </c>
      <c r="U41" s="195">
        <f t="shared" si="14"/>
        <v>9878.100395</v>
      </c>
      <c r="V41" s="196">
        <f t="shared" si="14"/>
        <v>9997.731504</v>
      </c>
      <c r="W41" s="197">
        <f t="shared" si="14"/>
        <v>10121.63722</v>
      </c>
    </row>
    <row r="42">
      <c r="A42" s="1"/>
      <c r="B42" s="164" t="s">
        <v>95</v>
      </c>
      <c r="C42" s="198">
        <v>0.1</v>
      </c>
      <c r="G42" s="1"/>
      <c r="H42" s="1"/>
      <c r="I42" s="176"/>
      <c r="J42" s="1"/>
      <c r="K42" s="199"/>
      <c r="L42" s="200"/>
    </row>
    <row r="43">
      <c r="A43" s="1"/>
      <c r="G43" s="1"/>
      <c r="H43" s="1"/>
      <c r="I43" s="176"/>
      <c r="J43" s="1"/>
      <c r="K43" s="199"/>
      <c r="L43" s="200"/>
    </row>
    <row r="44">
      <c r="A44" s="1"/>
      <c r="G44" s="1"/>
      <c r="H44" s="1"/>
      <c r="I44" s="176"/>
      <c r="J44" s="1"/>
      <c r="K44" s="199"/>
      <c r="L44" s="200"/>
    </row>
    <row r="45">
      <c r="A45" s="1"/>
      <c r="G45" s="1"/>
      <c r="H45" s="1"/>
      <c r="I45" s="176"/>
      <c r="J45" s="1"/>
      <c r="K45" s="199"/>
      <c r="L45" s="201"/>
    </row>
    <row r="46">
      <c r="A46" s="1"/>
      <c r="G46" s="1"/>
      <c r="H46" s="1"/>
      <c r="I46" s="176"/>
      <c r="J46" s="1"/>
      <c r="K46" s="199"/>
      <c r="L46" s="201"/>
    </row>
    <row r="47">
      <c r="A47" s="1"/>
      <c r="G47" s="1"/>
      <c r="H47" s="1"/>
      <c r="I47" s="1"/>
      <c r="J47" s="1"/>
      <c r="K47" s="202"/>
      <c r="L47" s="203"/>
    </row>
    <row r="48">
      <c r="A48" s="1"/>
      <c r="G48" s="1"/>
      <c r="H48" s="2"/>
      <c r="I48" s="175"/>
      <c r="J48" s="1"/>
      <c r="K48" s="2"/>
      <c r="L48" s="204"/>
    </row>
    <row r="49">
      <c r="A49" s="1"/>
      <c r="E49" s="1"/>
      <c r="F49" s="1"/>
      <c r="G49" s="1"/>
      <c r="H49" s="2"/>
      <c r="I49" s="175"/>
      <c r="J49" s="1"/>
      <c r="K49" s="2"/>
      <c r="L49" s="175"/>
    </row>
    <row r="50">
      <c r="A50" s="1"/>
      <c r="E50" s="1"/>
      <c r="F50" s="1"/>
      <c r="G50" s="1"/>
      <c r="H50" s="2"/>
      <c r="I50" s="205"/>
      <c r="J50" s="1"/>
      <c r="K50" s="206"/>
      <c r="L50" s="207"/>
    </row>
    <row r="51">
      <c r="A51" s="1"/>
      <c r="E51" s="1"/>
      <c r="F51" s="1"/>
      <c r="G51" s="1"/>
    </row>
    <row r="52">
      <c r="B52" s="1"/>
      <c r="C52" s="1"/>
      <c r="D52" s="1"/>
      <c r="E52" s="1"/>
      <c r="F52" s="1"/>
    </row>
    <row r="53">
      <c r="B53" s="1"/>
      <c r="C53" s="1"/>
      <c r="D53" s="1"/>
      <c r="E53" s="1"/>
      <c r="F53" s="1"/>
    </row>
    <row r="54">
      <c r="B54" s="1"/>
      <c r="C54" s="1"/>
      <c r="D54" s="1"/>
      <c r="E54" s="1"/>
      <c r="F54" s="1"/>
    </row>
    <row r="55">
      <c r="B55" s="1"/>
      <c r="C55" s="1"/>
      <c r="D55" s="1"/>
      <c r="E55" s="1"/>
      <c r="F55" s="1"/>
    </row>
    <row r="56">
      <c r="B56" s="1"/>
      <c r="C56" s="1"/>
      <c r="D56" s="1"/>
      <c r="E56" s="1"/>
      <c r="F56" s="1"/>
    </row>
    <row r="57">
      <c r="B57" s="1"/>
      <c r="C57" s="1"/>
      <c r="D57" s="1"/>
      <c r="E57" s="1"/>
      <c r="F57" s="1"/>
    </row>
    <row r="58">
      <c r="B58" s="1"/>
      <c r="C58" s="1"/>
      <c r="D58" s="1"/>
      <c r="E58" s="1"/>
      <c r="F58" s="1"/>
    </row>
    <row r="59">
      <c r="B59" s="1"/>
      <c r="C59" s="1"/>
      <c r="D59" s="1"/>
      <c r="E59" s="1"/>
      <c r="F59" s="1"/>
    </row>
    <row r="60">
      <c r="B60" s="1"/>
      <c r="C60" s="1"/>
      <c r="D60" s="1"/>
      <c r="E60" s="1"/>
      <c r="F60" s="1"/>
    </row>
  </sheetData>
  <mergeCells count="16">
    <mergeCell ref="H5:L5"/>
    <mergeCell ref="R8:S8"/>
    <mergeCell ref="R9:S9"/>
    <mergeCell ref="R10:S10"/>
    <mergeCell ref="R11:S11"/>
    <mergeCell ref="R12:S12"/>
    <mergeCell ref="R13:S13"/>
    <mergeCell ref="H20:L20"/>
    <mergeCell ref="H35:L35"/>
    <mergeCell ref="R14:S14"/>
    <mergeCell ref="R15:S15"/>
    <mergeCell ref="R16:S16"/>
    <mergeCell ref="R17:S17"/>
    <mergeCell ref="R18:S18"/>
    <mergeCell ref="R20:S20"/>
    <mergeCell ref="R21:S21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